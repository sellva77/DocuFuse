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rterly Report" state="visible" r:id="rId4"/>
    <sheet sheetId="2" name="Landscape Summary" state="visible" r:id="rId5"/>
    <sheet sheetId="3" name="Confidential Data" state="hidden" r:id="rId6"/>
    <sheet sheetId="4" name="VBA Settings" state="veryHidden" r:id="rId7"/>
  </sheets>
  <definedNames>
    <definedName name="_xlnm.Print_Area" localSheetId="0">'Quarterly Report'!$A1:$E60</definedName>
    <definedName name="_xlnm.Print_Titles" localSheetId="0">'Quarterly Report'!$1:$2</definedName>
  </definedNames>
  <calcPr calcId="171027"/>
</workbook>
</file>

<file path=xl/sharedStrings.xml><?xml version="1.0" encoding="utf-8"?>
<sst xmlns="http://schemas.openxmlformats.org/spreadsheetml/2006/main" count="66" uniqueCount="66">
  <si>
    <t>Quarterly Financial Performance (2026)</t>
  </si>
  <si>
    <t>Quarter</t>
  </si>
  <si>
    <t>Revenue ($)</t>
  </si>
  <si>
    <t>Expenses ($)</t>
  </si>
  <si>
    <t>Profit ($)</t>
  </si>
  <si>
    <t>Margin (%)</t>
  </si>
  <si>
    <t>Q1 - Line 1</t>
  </si>
  <si>
    <t>Q2 - Line 2</t>
  </si>
  <si>
    <t>Q3 - Line 3</t>
  </si>
  <si>
    <t>Q4 - Line 4</t>
  </si>
  <si>
    <t>Q1 - Line 5</t>
  </si>
  <si>
    <t>Q2 - Line 6</t>
  </si>
  <si>
    <t>Q3 - Line 7</t>
  </si>
  <si>
    <t>Q4 - Line 8</t>
  </si>
  <si>
    <t>Q1 - Line 9</t>
  </si>
  <si>
    <t>Q2 - Line 10</t>
  </si>
  <si>
    <t>Q3 - Line 11</t>
  </si>
  <si>
    <t>Q4 - Line 12</t>
  </si>
  <si>
    <t>Q1 - Line 13</t>
  </si>
  <si>
    <t>Q2 - Line 14</t>
  </si>
  <si>
    <t>Q3 - Line 15</t>
  </si>
  <si>
    <t>Q4 - Line 16</t>
  </si>
  <si>
    <t>Q1 - Line 17</t>
  </si>
  <si>
    <t>Q2 - Line 18</t>
  </si>
  <si>
    <t>Q3 - Line 19</t>
  </si>
  <si>
    <t>Q4 - Line 20</t>
  </si>
  <si>
    <t>Q1 - Line 21</t>
  </si>
  <si>
    <t>Q2 - Line 22</t>
  </si>
  <si>
    <t>Q3 - Line 23</t>
  </si>
  <si>
    <t>Q4 - Line 24</t>
  </si>
  <si>
    <t>Q1 - Line 25</t>
  </si>
  <si>
    <t>Q2 - Line 26</t>
  </si>
  <si>
    <t>Q3 - Line 27</t>
  </si>
  <si>
    <t>Q4 - Line 28</t>
  </si>
  <si>
    <t>Q1 - Line 29</t>
  </si>
  <si>
    <t>Q2 - Line 30</t>
  </si>
  <si>
    <t>Q3 - Line 31</t>
  </si>
  <si>
    <t>Q4 - Line 32</t>
  </si>
  <si>
    <t>Q1 - Line 33</t>
  </si>
  <si>
    <t>Q2 - Line 34</t>
  </si>
  <si>
    <t>Q3 - Line 35</t>
  </si>
  <si>
    <t>Q4 - Line 36</t>
  </si>
  <si>
    <t>Q1 - Line 37</t>
  </si>
  <si>
    <t>Q2 - Line 38</t>
  </si>
  <si>
    <t>Q3 - Line 39</t>
  </si>
  <si>
    <t>Q4 - Line 40</t>
  </si>
  <si>
    <t>Q1 - Line 41</t>
  </si>
  <si>
    <t>Q2 - Line 42</t>
  </si>
  <si>
    <t>Q3 - Line 43</t>
  </si>
  <si>
    <t>Q4 - Line 44</t>
  </si>
  <si>
    <t>Q1 - Line 45</t>
  </si>
  <si>
    <t>Q2 - Line 46</t>
  </si>
  <si>
    <t>Q3 - Line 47</t>
  </si>
  <si>
    <t>Q4 - Line 48</t>
  </si>
  <si>
    <t>Q1 - Line 49</t>
  </si>
  <si>
    <t>Q2 - Line 50</t>
  </si>
  <si>
    <t>Q3 - Line 51</t>
  </si>
  <si>
    <t>Q4 - Line 52</t>
  </si>
  <si>
    <t>Q1 - Line 53</t>
  </si>
  <si>
    <t>Q2 - Line 54</t>
  </si>
  <si>
    <t>Q3 - Line 55</t>
  </si>
  <si>
    <t>Q4 - Line 56</t>
  </si>
  <si>
    <t>Landscape Analysis</t>
  </si>
  <si>
    <t>Wide tabular report testing landscape printing.</t>
  </si>
  <si>
    <t>Internal Secrets - Hidden Sheet</t>
  </si>
  <si>
    <t>Very hidden configuration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</si>
</sst>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3B82F6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F293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4" borderId="2" xfId="0" applyFill="1" applyBorder="1"/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FormatPr defaultRowHeight="15" outlineLevelRow="0" outlineLevelCol="0" x14ac:dyDescent="55"/>
  <cols>
    <col min="1" max="1" width="20" customWidth="1"/>
    <col min="2" max="4" width="16" customWidth="1"/>
    <col min="5" max="5" width="14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0" customHeight="1" spans="1:5" x14ac:dyDescent="0.25">
      <c r="A3" s="3" t="s">
        <v>6</v>
      </c>
      <c r="B3" s="4">
        <v>11050</v>
      </c>
      <c r="C3" s="4">
        <v>6540</v>
      </c>
      <c r="D3" s="4">
        <f>B3-C3</f>
        <v>4510</v>
      </c>
      <c r="E3" s="5">
        <f>D3/B3</f>
        <v>40.8</v>
      </c>
    </row>
    <row r="4" ht="20" customHeight="1" spans="1:5" x14ac:dyDescent="0.25">
      <c r="A4" s="6" t="s">
        <v>7</v>
      </c>
      <c r="B4" s="7">
        <v>11400</v>
      </c>
      <c r="C4" s="7">
        <v>6720</v>
      </c>
      <c r="D4" s="7">
        <f>B4-C4</f>
        <v>4680</v>
      </c>
      <c r="E4" s="8">
        <f>D4/B4</f>
        <v>41.1</v>
      </c>
    </row>
    <row r="5" ht="20" customHeight="1" spans="1:5" x14ac:dyDescent="0.25">
      <c r="A5" s="3" t="s">
        <v>8</v>
      </c>
      <c r="B5" s="4">
        <v>11750</v>
      </c>
      <c r="C5" s="4">
        <v>6900</v>
      </c>
      <c r="D5" s="4">
        <f>B5-C5</f>
        <v>4850</v>
      </c>
      <c r="E5" s="5">
        <f>D5/B5</f>
        <v>41.3</v>
      </c>
    </row>
    <row r="6" ht="20" customHeight="1" spans="1:5" x14ac:dyDescent="0.25">
      <c r="A6" s="6" t="s">
        <v>9</v>
      </c>
      <c r="B6" s="7">
        <v>12100</v>
      </c>
      <c r="C6" s="7">
        <v>7080</v>
      </c>
      <c r="D6" s="7">
        <f>B6-C6</f>
        <v>5020</v>
      </c>
      <c r="E6" s="8">
        <f>D6/B6</f>
        <v>41.5</v>
      </c>
    </row>
    <row r="7" ht="20" customHeight="1" spans="1:5" x14ac:dyDescent="0.25">
      <c r="A7" s="3" t="s">
        <v>10</v>
      </c>
      <c r="B7" s="4">
        <v>12450</v>
      </c>
      <c r="C7" s="4">
        <v>7260</v>
      </c>
      <c r="D7" s="4">
        <f>B7-C7</f>
        <v>5190</v>
      </c>
      <c r="E7" s="5">
        <f>D7/B7</f>
        <v>41.7</v>
      </c>
    </row>
    <row r="8" ht="20" customHeight="1" spans="1:5" x14ac:dyDescent="0.25">
      <c r="A8" s="6" t="s">
        <v>11</v>
      </c>
      <c r="B8" s="7">
        <v>12800</v>
      </c>
      <c r="C8" s="7">
        <v>7440</v>
      </c>
      <c r="D8" s="7">
        <f>B8-C8</f>
        <v>5360</v>
      </c>
      <c r="E8" s="8">
        <f>D8/B8</f>
        <v>41.9</v>
      </c>
    </row>
    <row r="9" ht="20" customHeight="1" spans="1:5" x14ac:dyDescent="0.25">
      <c r="A9" s="3" t="s">
        <v>12</v>
      </c>
      <c r="B9" s="4">
        <v>13150</v>
      </c>
      <c r="C9" s="4">
        <v>7620</v>
      </c>
      <c r="D9" s="4">
        <f>B9-C9</f>
        <v>5530</v>
      </c>
      <c r="E9" s="5">
        <f>D9/B9</f>
        <v>42.1</v>
      </c>
    </row>
    <row r="10" ht="20" customHeight="1" spans="1:5" x14ac:dyDescent="0.25">
      <c r="A10" s="6" t="s">
        <v>13</v>
      </c>
      <c r="B10" s="7">
        <v>13500</v>
      </c>
      <c r="C10" s="7">
        <v>7800</v>
      </c>
      <c r="D10" s="7">
        <f>B10-C10</f>
        <v>5700</v>
      </c>
      <c r="E10" s="8">
        <f>D10/B10</f>
        <v>42.2</v>
      </c>
    </row>
    <row r="11" ht="20" customHeight="1" spans="1:5" x14ac:dyDescent="0.25">
      <c r="A11" s="3" t="s">
        <v>14</v>
      </c>
      <c r="B11" s="4">
        <v>13850</v>
      </c>
      <c r="C11" s="4">
        <v>7980</v>
      </c>
      <c r="D11" s="4">
        <f>B11-C11</f>
        <v>5870</v>
      </c>
      <c r="E11" s="5">
        <f>D11/B11</f>
        <v>42.4</v>
      </c>
    </row>
    <row r="12" ht="20" customHeight="1" spans="1:5" x14ac:dyDescent="0.25">
      <c r="A12" s="6" t="s">
        <v>15</v>
      </c>
      <c r="B12" s="7">
        <v>14200</v>
      </c>
      <c r="C12" s="7">
        <v>8160</v>
      </c>
      <c r="D12" s="7">
        <f>B12-C12</f>
        <v>6040</v>
      </c>
      <c r="E12" s="8">
        <f>D12/B12</f>
        <v>42.5</v>
      </c>
    </row>
    <row r="13" ht="20" customHeight="1" spans="1:5" x14ac:dyDescent="0.25">
      <c r="A13" s="3" t="s">
        <v>16</v>
      </c>
      <c r="B13" s="4">
        <v>14550</v>
      </c>
      <c r="C13" s="4">
        <v>8340</v>
      </c>
      <c r="D13" s="4">
        <f>B13-C13</f>
        <v>6210</v>
      </c>
      <c r="E13" s="5">
        <f>D13/B13</f>
        <v>42.7</v>
      </c>
    </row>
    <row r="14" ht="20" customHeight="1" spans="1:5" x14ac:dyDescent="0.25">
      <c r="A14" s="6" t="s">
        <v>17</v>
      </c>
      <c r="B14" s="7">
        <v>14900</v>
      </c>
      <c r="C14" s="7">
        <v>8520</v>
      </c>
      <c r="D14" s="7">
        <f>B14-C14</f>
        <v>6380</v>
      </c>
      <c r="E14" s="8">
        <f>D14/B14</f>
        <v>42.8</v>
      </c>
    </row>
    <row r="15" ht="20" customHeight="1" spans="1:5" x14ac:dyDescent="0.25">
      <c r="A15" s="3" t="s">
        <v>18</v>
      </c>
      <c r="B15" s="4">
        <v>15250</v>
      </c>
      <c r="C15" s="4">
        <v>8700</v>
      </c>
      <c r="D15" s="4">
        <f>B15-C15</f>
        <v>6550</v>
      </c>
      <c r="E15" s="5">
        <f>D15/B15</f>
        <v>43</v>
      </c>
    </row>
    <row r="16" ht="20" customHeight="1" spans="1:5" x14ac:dyDescent="0.25">
      <c r="A16" s="6" t="s">
        <v>19</v>
      </c>
      <c r="B16" s="7">
        <v>15600</v>
      </c>
      <c r="C16" s="7">
        <v>8880</v>
      </c>
      <c r="D16" s="7">
        <f>B16-C16</f>
        <v>6720</v>
      </c>
      <c r="E16" s="8">
        <f>D16/B16</f>
        <v>43.1</v>
      </c>
    </row>
    <row r="17" ht="20" customHeight="1" spans="1:5" x14ac:dyDescent="0.25">
      <c r="A17" s="3" t="s">
        <v>20</v>
      </c>
      <c r="B17" s="4">
        <v>15950</v>
      </c>
      <c r="C17" s="4">
        <v>9060</v>
      </c>
      <c r="D17" s="4">
        <f>B17-C17</f>
        <v>6890</v>
      </c>
      <c r="E17" s="5">
        <f>D17/B17</f>
        <v>43.2</v>
      </c>
    </row>
    <row r="18" ht="20" customHeight="1" spans="1:5" x14ac:dyDescent="0.25">
      <c r="A18" s="6" t="s">
        <v>21</v>
      </c>
      <c r="B18" s="7">
        <v>16300</v>
      </c>
      <c r="C18" s="7">
        <v>9240</v>
      </c>
      <c r="D18" s="7">
        <f>B18-C18</f>
        <v>7060</v>
      </c>
      <c r="E18" s="8">
        <f>D18/B18</f>
        <v>43.3</v>
      </c>
    </row>
    <row r="19" ht="20" customHeight="1" spans="1:5" x14ac:dyDescent="0.25">
      <c r="A19" s="3" t="s">
        <v>22</v>
      </c>
      <c r="B19" s="4">
        <v>16650</v>
      </c>
      <c r="C19" s="4">
        <v>9420</v>
      </c>
      <c r="D19" s="4">
        <f>B19-C19</f>
        <v>7230</v>
      </c>
      <c r="E19" s="5">
        <f>D19/B19</f>
        <v>43.4</v>
      </c>
    </row>
    <row r="20" ht="20" customHeight="1" spans="1:5" x14ac:dyDescent="0.25">
      <c r="A20" s="6" t="s">
        <v>23</v>
      </c>
      <c r="B20" s="7">
        <v>17000</v>
      </c>
      <c r="C20" s="7">
        <v>9600</v>
      </c>
      <c r="D20" s="7">
        <f>B20-C20</f>
        <v>7400</v>
      </c>
      <c r="E20" s="8">
        <f>D20/B20</f>
        <v>43.5</v>
      </c>
    </row>
    <row r="21" ht="20" customHeight="1" spans="1:5" x14ac:dyDescent="0.25">
      <c r="A21" s="3" t="s">
        <v>24</v>
      </c>
      <c r="B21" s="4">
        <v>17350</v>
      </c>
      <c r="C21" s="4">
        <v>9780</v>
      </c>
      <c r="D21" s="4">
        <f>B21-C21</f>
        <v>7570</v>
      </c>
      <c r="E21" s="5">
        <f>D21/B21</f>
        <v>43.6</v>
      </c>
    </row>
    <row r="22" ht="20" customHeight="1" spans="1:5" x14ac:dyDescent="0.25">
      <c r="A22" s="6" t="s">
        <v>25</v>
      </c>
      <c r="B22" s="7">
        <v>17700</v>
      </c>
      <c r="C22" s="7">
        <v>9960</v>
      </c>
      <c r="D22" s="7">
        <f>B22-C22</f>
        <v>7740</v>
      </c>
      <c r="E22" s="8">
        <f>D22/B22</f>
        <v>43.7</v>
      </c>
    </row>
    <row r="23" ht="20" customHeight="1" spans="1:5" x14ac:dyDescent="0.25">
      <c r="A23" s="3" t="s">
        <v>26</v>
      </c>
      <c r="B23" s="4">
        <v>18050</v>
      </c>
      <c r="C23" s="4">
        <v>10140</v>
      </c>
      <c r="D23" s="4">
        <f>B23-C23</f>
        <v>7910</v>
      </c>
      <c r="E23" s="5">
        <f>D23/B23</f>
        <v>43.8</v>
      </c>
    </row>
    <row r="24" ht="20" customHeight="1" spans="1:5" x14ac:dyDescent="0.25">
      <c r="A24" s="6" t="s">
        <v>27</v>
      </c>
      <c r="B24" s="7">
        <v>18400</v>
      </c>
      <c r="C24" s="7">
        <v>10320</v>
      </c>
      <c r="D24" s="7">
        <f>B24-C24</f>
        <v>8080</v>
      </c>
      <c r="E24" s="8">
        <f>D24/B24</f>
        <v>43.9</v>
      </c>
    </row>
    <row r="25" ht="20" customHeight="1" spans="1:5" x14ac:dyDescent="0.25">
      <c r="A25" s="3" t="s">
        <v>28</v>
      </c>
      <c r="B25" s="4">
        <v>18750</v>
      </c>
      <c r="C25" s="4">
        <v>10500</v>
      </c>
      <c r="D25" s="4">
        <f>B25-C25</f>
        <v>8250</v>
      </c>
      <c r="E25" s="5">
        <f>D25/B25</f>
        <v>44</v>
      </c>
    </row>
    <row r="26" ht="20" customHeight="1" spans="1:5" x14ac:dyDescent="0.25">
      <c r="A26" s="6" t="s">
        <v>29</v>
      </c>
      <c r="B26" s="7">
        <v>19100</v>
      </c>
      <c r="C26" s="7">
        <v>10680</v>
      </c>
      <c r="D26" s="7">
        <f>B26-C26</f>
        <v>8420</v>
      </c>
      <c r="E26" s="8">
        <f>D26/B26</f>
        <v>44.1</v>
      </c>
    </row>
    <row r="27" ht="20" customHeight="1" spans="1:5" x14ac:dyDescent="0.25">
      <c r="A27" s="3" t="s">
        <v>30</v>
      </c>
      <c r="B27" s="4">
        <v>19450</v>
      </c>
      <c r="C27" s="4">
        <v>10860</v>
      </c>
      <c r="D27" s="4">
        <f>B27-C27</f>
        <v>8590</v>
      </c>
      <c r="E27" s="5">
        <f>D27/B27</f>
        <v>44.2</v>
      </c>
    </row>
    <row r="28" ht="20" customHeight="1" spans="1:5" x14ac:dyDescent="0.25">
      <c r="A28" s="6" t="s">
        <v>31</v>
      </c>
      <c r="B28" s="7">
        <v>19800</v>
      </c>
      <c r="C28" s="7">
        <v>11040</v>
      </c>
      <c r="D28" s="7">
        <f>B28-C28</f>
        <v>8760</v>
      </c>
      <c r="E28" s="8">
        <f>D28/B28</f>
        <v>44.2</v>
      </c>
    </row>
    <row r="29" ht="20" customHeight="1" spans="1:5" x14ac:dyDescent="0.25">
      <c r="A29" s="3" t="s">
        <v>32</v>
      </c>
      <c r="B29" s="4">
        <v>20150</v>
      </c>
      <c r="C29" s="4">
        <v>11220</v>
      </c>
      <c r="D29" s="4">
        <f>B29-C29</f>
        <v>8930</v>
      </c>
      <c r="E29" s="5">
        <f>D29/B29</f>
        <v>44.3</v>
      </c>
    </row>
    <row r="30" ht="20" customHeight="1" spans="1:5" x14ac:dyDescent="0.25">
      <c r="A30" s="6" t="s">
        <v>33</v>
      </c>
      <c r="B30" s="7">
        <v>20500</v>
      </c>
      <c r="C30" s="7">
        <v>11400</v>
      </c>
      <c r="D30" s="7">
        <f>B30-C30</f>
        <v>9100</v>
      </c>
      <c r="E30" s="8">
        <f>D30/B30</f>
        <v>44.4</v>
      </c>
    </row>
    <row r="31" ht="20" customHeight="1" spans="1:5" x14ac:dyDescent="0.25">
      <c r="A31" s="3" t="s">
        <v>34</v>
      </c>
      <c r="B31" s="4">
        <v>20850</v>
      </c>
      <c r="C31" s="4">
        <v>11580</v>
      </c>
      <c r="D31" s="4">
        <f>B31-C31</f>
        <v>9270</v>
      </c>
      <c r="E31" s="5">
        <f>D31/B31</f>
        <v>44.5</v>
      </c>
    </row>
    <row r="32" ht="20" customHeight="1" spans="1:5" x14ac:dyDescent="0.25">
      <c r="A32" s="6" t="s">
        <v>35</v>
      </c>
      <c r="B32" s="7">
        <v>21200</v>
      </c>
      <c r="C32" s="7">
        <v>11760</v>
      </c>
      <c r="D32" s="7">
        <f>B32-C32</f>
        <v>9440</v>
      </c>
      <c r="E32" s="8">
        <f>D32/B32</f>
        <v>44.5</v>
      </c>
    </row>
    <row r="33" ht="20" customHeight="1" spans="1:5" x14ac:dyDescent="0.25">
      <c r="A33" s="3" t="s">
        <v>36</v>
      </c>
      <c r="B33" s="4">
        <v>21550</v>
      </c>
      <c r="C33" s="4">
        <v>11940</v>
      </c>
      <c r="D33" s="4">
        <f>B33-C33</f>
        <v>9610</v>
      </c>
      <c r="E33" s="5">
        <f>D33/B33</f>
        <v>44.6</v>
      </c>
    </row>
    <row r="34" ht="20" customHeight="1" spans="1:5" x14ac:dyDescent="0.25">
      <c r="A34" s="6" t="s">
        <v>37</v>
      </c>
      <c r="B34" s="7">
        <v>21900</v>
      </c>
      <c r="C34" s="7">
        <v>12120</v>
      </c>
      <c r="D34" s="7">
        <f>B34-C34</f>
        <v>9780</v>
      </c>
      <c r="E34" s="8">
        <f>D34/B34</f>
        <v>44.7</v>
      </c>
    </row>
    <row r="35" ht="20" customHeight="1" spans="1:5" x14ac:dyDescent="0.25">
      <c r="A35" s="3" t="s">
        <v>38</v>
      </c>
      <c r="B35" s="4">
        <v>22250</v>
      </c>
      <c r="C35" s="4">
        <v>12300</v>
      </c>
      <c r="D35" s="4">
        <f>B35-C35</f>
        <v>9950</v>
      </c>
      <c r="E35" s="5">
        <f>D35/B35</f>
        <v>44.7</v>
      </c>
    </row>
    <row r="36" ht="20" customHeight="1" spans="1:5" x14ac:dyDescent="0.25">
      <c r="A36" s="6" t="s">
        <v>39</v>
      </c>
      <c r="B36" s="7">
        <v>22600</v>
      </c>
      <c r="C36" s="7">
        <v>12480</v>
      </c>
      <c r="D36" s="7">
        <f>B36-C36</f>
        <v>10120</v>
      </c>
      <c r="E36" s="8">
        <f>D36/B36</f>
        <v>44.8</v>
      </c>
    </row>
    <row r="37" ht="20" customHeight="1" spans="1:5" x14ac:dyDescent="0.25">
      <c r="A37" s="3" t="s">
        <v>40</v>
      </c>
      <c r="B37" s="4">
        <v>22950</v>
      </c>
      <c r="C37" s="4">
        <v>12660</v>
      </c>
      <c r="D37" s="4">
        <f>B37-C37</f>
        <v>10290</v>
      </c>
      <c r="E37" s="5">
        <f>D37/B37</f>
        <v>44.8</v>
      </c>
    </row>
    <row r="38" ht="20" customHeight="1" spans="1:5" x14ac:dyDescent="0.25">
      <c r="A38" s="6" t="s">
        <v>41</v>
      </c>
      <c r="B38" s="7">
        <v>23300</v>
      </c>
      <c r="C38" s="7">
        <v>12840</v>
      </c>
      <c r="D38" s="7">
        <f>B38-C38</f>
        <v>10460</v>
      </c>
      <c r="E38" s="8">
        <f>D38/B38</f>
        <v>44.9</v>
      </c>
    </row>
    <row r="39" ht="20" customHeight="1" spans="1:5" x14ac:dyDescent="0.25">
      <c r="A39" s="3" t="s">
        <v>42</v>
      </c>
      <c r="B39" s="4">
        <v>23650</v>
      </c>
      <c r="C39" s="4">
        <v>13020</v>
      </c>
      <c r="D39" s="4">
        <f>B39-C39</f>
        <v>10630</v>
      </c>
      <c r="E39" s="5">
        <f>D39/B39</f>
        <v>44.9</v>
      </c>
    </row>
    <row r="40" ht="20" customHeight="1" spans="1:5" x14ac:dyDescent="0.25">
      <c r="A40" s="6" t="s">
        <v>43</v>
      </c>
      <c r="B40" s="7">
        <v>24000</v>
      </c>
      <c r="C40" s="7">
        <v>13200</v>
      </c>
      <c r="D40" s="7">
        <f>B40-C40</f>
        <v>10800</v>
      </c>
      <c r="E40" s="8">
        <f>D40/B40</f>
        <v>45</v>
      </c>
    </row>
    <row r="41" ht="20" customHeight="1" spans="1:5" x14ac:dyDescent="0.25">
      <c r="A41" s="3" t="s">
        <v>44</v>
      </c>
      <c r="B41" s="4">
        <v>24350</v>
      </c>
      <c r="C41" s="4">
        <v>13380</v>
      </c>
      <c r="D41" s="4">
        <f>B41-C41</f>
        <v>10970</v>
      </c>
      <c r="E41" s="5">
        <f>D41/B41</f>
        <v>45.1</v>
      </c>
    </row>
    <row r="42" ht="20" customHeight="1" spans="1:5" x14ac:dyDescent="0.25">
      <c r="A42" s="6" t="s">
        <v>45</v>
      </c>
      <c r="B42" s="7">
        <v>24700</v>
      </c>
      <c r="C42" s="7">
        <v>13560</v>
      </c>
      <c r="D42" s="7">
        <f>B42-C42</f>
        <v>11140</v>
      </c>
      <c r="E42" s="8">
        <f>D42/B42</f>
        <v>45.1</v>
      </c>
    </row>
    <row r="43" ht="20" customHeight="1" spans="1:5" x14ac:dyDescent="0.25">
      <c r="A43" s="3" t="s">
        <v>46</v>
      </c>
      <c r="B43" s="4">
        <v>25050</v>
      </c>
      <c r="C43" s="4">
        <v>13740</v>
      </c>
      <c r="D43" s="4">
        <f>B43-C43</f>
        <v>11310</v>
      </c>
      <c r="E43" s="5">
        <f>D43/B43</f>
        <v>45.1</v>
      </c>
    </row>
    <row r="44" ht="20" customHeight="1" spans="1:5" x14ac:dyDescent="0.25">
      <c r="A44" s="6" t="s">
        <v>47</v>
      </c>
      <c r="B44" s="7">
        <v>25400</v>
      </c>
      <c r="C44" s="7">
        <v>13920</v>
      </c>
      <c r="D44" s="7">
        <f>B44-C44</f>
        <v>11480</v>
      </c>
      <c r="E44" s="8">
        <f>D44/B44</f>
        <v>45.2</v>
      </c>
    </row>
    <row r="45" ht="20" customHeight="1" spans="1:5" x14ac:dyDescent="0.25">
      <c r="A45" s="3" t="s">
        <v>48</v>
      </c>
      <c r="B45" s="4">
        <v>25750</v>
      </c>
      <c r="C45" s="4">
        <v>14100</v>
      </c>
      <c r="D45" s="4">
        <f>B45-C45</f>
        <v>11650</v>
      </c>
      <c r="E45" s="5">
        <f>D45/B45</f>
        <v>45.2</v>
      </c>
    </row>
    <row r="46" ht="20" customHeight="1" spans="1:5" x14ac:dyDescent="0.25">
      <c r="A46" s="6" t="s">
        <v>49</v>
      </c>
      <c r="B46" s="7">
        <v>26100</v>
      </c>
      <c r="C46" s="7">
        <v>14280</v>
      </c>
      <c r="D46" s="7">
        <f>B46-C46</f>
        <v>11820</v>
      </c>
      <c r="E46" s="8">
        <f>D46/B46</f>
        <v>45.3</v>
      </c>
    </row>
    <row r="47" ht="20" customHeight="1" spans="1:5" x14ac:dyDescent="0.25">
      <c r="A47" s="3" t="s">
        <v>50</v>
      </c>
      <c r="B47" s="4">
        <v>26450</v>
      </c>
      <c r="C47" s="4">
        <v>14460</v>
      </c>
      <c r="D47" s="4">
        <f>B47-C47</f>
        <v>11990</v>
      </c>
      <c r="E47" s="5">
        <f>D47/B47</f>
        <v>45.3</v>
      </c>
    </row>
    <row r="48" ht="20" customHeight="1" spans="1:5" x14ac:dyDescent="0.25">
      <c r="A48" s="6" t="s">
        <v>51</v>
      </c>
      <c r="B48" s="7">
        <v>26800</v>
      </c>
      <c r="C48" s="7">
        <v>14640</v>
      </c>
      <c r="D48" s="7">
        <f>B48-C48</f>
        <v>12160</v>
      </c>
      <c r="E48" s="8">
        <f>D48/B48</f>
        <v>45.4</v>
      </c>
    </row>
    <row r="49" ht="20" customHeight="1" spans="1:5" x14ac:dyDescent="0.25">
      <c r="A49" s="3" t="s">
        <v>52</v>
      </c>
      <c r="B49" s="4">
        <v>27150</v>
      </c>
      <c r="C49" s="4">
        <v>14820</v>
      </c>
      <c r="D49" s="4">
        <f>B49-C49</f>
        <v>12330</v>
      </c>
      <c r="E49" s="5">
        <f>D49/B49</f>
        <v>45.4</v>
      </c>
    </row>
    <row r="50" ht="20" customHeight="1" spans="1:5" x14ac:dyDescent="0.25">
      <c r="A50" s="6" t="s">
        <v>53</v>
      </c>
      <c r="B50" s="7">
        <v>27500</v>
      </c>
      <c r="C50" s="7">
        <v>15000</v>
      </c>
      <c r="D50" s="7">
        <f>B50-C50</f>
        <v>12500</v>
      </c>
      <c r="E50" s="8">
        <f>D50/B50</f>
        <v>45.5</v>
      </c>
    </row>
    <row r="51" ht="20" customHeight="1" spans="1:5" x14ac:dyDescent="0.25">
      <c r="A51" s="3" t="s">
        <v>54</v>
      </c>
      <c r="B51" s="4">
        <v>27850</v>
      </c>
      <c r="C51" s="4">
        <v>15180</v>
      </c>
      <c r="D51" s="4">
        <f>B51-C51</f>
        <v>12670</v>
      </c>
      <c r="E51" s="5">
        <f>D51/B51</f>
        <v>45.5</v>
      </c>
    </row>
    <row r="52" ht="20" customHeight="1" spans="1:5" x14ac:dyDescent="0.25">
      <c r="A52" s="6" t="s">
        <v>55</v>
      </c>
      <c r="B52" s="7">
        <v>28200</v>
      </c>
      <c r="C52" s="7">
        <v>15360</v>
      </c>
      <c r="D52" s="7">
        <f>B52-C52</f>
        <v>12840</v>
      </c>
      <c r="E52" s="8">
        <f>D52/B52</f>
        <v>45.5</v>
      </c>
    </row>
    <row r="53" ht="20" customHeight="1" spans="1:5" x14ac:dyDescent="0.25">
      <c r="A53" s="3" t="s">
        <v>56</v>
      </c>
      <c r="B53" s="4">
        <v>28550</v>
      </c>
      <c r="C53" s="4">
        <v>15540</v>
      </c>
      <c r="D53" s="4">
        <f>B53-C53</f>
        <v>13010</v>
      </c>
      <c r="E53" s="5">
        <f>D53/B53</f>
        <v>45.6</v>
      </c>
    </row>
    <row r="54" ht="20" customHeight="1" spans="1:5" x14ac:dyDescent="0.25">
      <c r="A54" s="6" t="s">
        <v>57</v>
      </c>
      <c r="B54" s="7">
        <v>28900</v>
      </c>
      <c r="C54" s="7">
        <v>15720</v>
      </c>
      <c r="D54" s="7">
        <f>B54-C54</f>
        <v>13180</v>
      </c>
      <c r="E54" s="8">
        <f>D54/B54</f>
        <v>45.6</v>
      </c>
    </row>
    <row r="55" ht="20" customHeight="1" spans="1:5" x14ac:dyDescent="0.25">
      <c r="A55" s="3" t="s">
        <v>58</v>
      </c>
      <c r="B55" s="4">
        <v>29250</v>
      </c>
      <c r="C55" s="4">
        <v>15900</v>
      </c>
      <c r="D55" s="4">
        <f>B55-C55</f>
        <v>13350</v>
      </c>
      <c r="E55" s="5">
        <f>D55/B55</f>
        <v>45.6</v>
      </c>
    </row>
    <row r="56" ht="20" customHeight="1" spans="1:5" x14ac:dyDescent="0.25">
      <c r="A56" s="6" t="s">
        <v>59</v>
      </c>
      <c r="B56" s="7">
        <v>29600</v>
      </c>
      <c r="C56" s="7">
        <v>16080</v>
      </c>
      <c r="D56" s="7">
        <f>B56-C56</f>
        <v>13520</v>
      </c>
      <c r="E56" s="8">
        <f>D56/B56</f>
        <v>45.7</v>
      </c>
    </row>
    <row r="57" ht="20" customHeight="1" spans="1:5" x14ac:dyDescent="0.25">
      <c r="A57" s="3" t="s">
        <v>60</v>
      </c>
      <c r="B57" s="4">
        <v>29950</v>
      </c>
      <c r="C57" s="4">
        <v>16260</v>
      </c>
      <c r="D57" s="4">
        <f>B57-C57</f>
        <v>13690</v>
      </c>
      <c r="E57" s="5">
        <f>D57/B57</f>
        <v>45.7</v>
      </c>
    </row>
    <row r="58" ht="20" customHeight="1" spans="1:5" x14ac:dyDescent="0.25">
      <c r="A58" s="6" t="s">
        <v>61</v>
      </c>
      <c r="B58" s="7">
        <v>30300</v>
      </c>
      <c r="C58" s="7">
        <v>16440</v>
      </c>
      <c r="D58" s="7">
        <f>B58-C58</f>
        <v>13860</v>
      </c>
      <c r="E58" s="8">
        <f>D58/B58</f>
        <v>45.7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scale="100" fitToWidth="1" fitToHeight="1"/>
  <rowBreaks count="1" manualBreakCount="1">
    <brk id="30" max="168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9" t="s">
        <v>62</v>
      </c>
    </row>
    <row r="2" spans="1:1" x14ac:dyDescent="0.25">
      <c r="A2" t="s">
        <v>63</v>
      </c>
    </row>
  </sheetData>
  <pageMargins left="0.5" right="0.5" top="0.5" bottom="0.5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 Report</vt:lpstr>
      <vt:lpstr>Landscape Summary</vt:lpstr>
      <vt:lpstr>Confidential Data</vt:lpstr>
      <vt:lpstr>VBA 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 Merger</dc:creator>
  <dc:title/>
  <dc:subject/>
  <dc:description/>
  <cp:keywords/>
  <cp:category/>
  <cp:lastModifiedBy>Unknown</cp:lastModifiedBy>
  <dcterms:created xsi:type="dcterms:W3CDTF">2026-10-16T04:50:47Z</dcterms:created>
  <dcterms:modified xsi:type="dcterms:W3CDTF">2026-10-16T04:50:47Z</dcterms:modified>
</cp:coreProperties>
</file>